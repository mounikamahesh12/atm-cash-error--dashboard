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an\Documents\"/>
    </mc:Choice>
  </mc:AlternateContent>
  <xr:revisionPtr revIDLastSave="0" documentId="13_ncr:1_{50B15347-8DCE-42BE-9F12-FCAE08BE17F0}" xr6:coauthVersionLast="47" xr6:coauthVersionMax="47" xr10:uidLastSave="{00000000-0000-0000-0000-000000000000}"/>
  <bookViews>
    <workbookView xWindow="-108" yWindow="-108" windowWidth="23256" windowHeight="12456" activeTab="2" xr2:uid="{C2B5E0C3-F12D-4C14-AE2D-943DEF5A4385}"/>
  </bookViews>
  <sheets>
    <sheet name="ATM_Cash" sheetId="2" r:id="rId1"/>
    <sheet name="Country" sheetId="9" r:id="rId2"/>
    <sheet name="ATM_Transaction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D17" i="2"/>
  <c r="D18" i="2"/>
  <c r="D19" i="2"/>
  <c r="D12" i="2"/>
  <c r="D13" i="2"/>
  <c r="D14" i="2"/>
  <c r="D15" i="2"/>
  <c r="D10" i="2"/>
  <c r="D11" i="2"/>
  <c r="D9" i="2"/>
  <c r="D7" i="2"/>
  <c r="D8" i="2"/>
  <c r="D20" i="2"/>
  <c r="D6" i="2"/>
  <c r="D5" i="2"/>
  <c r="D3" i="2"/>
  <c r="D4" i="2"/>
  <c r="D2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" i="8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K2" i="2"/>
  <c r="J2" i="2"/>
  <c r="I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L2" i="2" l="1"/>
</calcChain>
</file>

<file path=xl/sharedStrings.xml><?xml version="1.0" encoding="utf-8"?>
<sst xmlns="http://schemas.openxmlformats.org/spreadsheetml/2006/main" count="73" uniqueCount="48">
  <si>
    <t>Date</t>
  </si>
  <si>
    <t>ATM_ID</t>
  </si>
  <si>
    <t>Denomination</t>
  </si>
  <si>
    <t>ATMNY001</t>
  </si>
  <si>
    <t>ATMUK002</t>
  </si>
  <si>
    <t>ATMNY006</t>
  </si>
  <si>
    <t>ATMUK008</t>
  </si>
  <si>
    <t>ATMNY014</t>
  </si>
  <si>
    <t>ATMUK015</t>
  </si>
  <si>
    <t>ATMNY018</t>
  </si>
  <si>
    <t>ATMUK019</t>
  </si>
  <si>
    <t>NY</t>
  </si>
  <si>
    <t>Australia</t>
  </si>
  <si>
    <t>UK</t>
  </si>
  <si>
    <t>America</t>
  </si>
  <si>
    <t>United Kingdom</t>
  </si>
  <si>
    <t>Hyderabad</t>
  </si>
  <si>
    <t>ATMHY003</t>
  </si>
  <si>
    <t>ATMAU004</t>
  </si>
  <si>
    <t>ATMHY005</t>
  </si>
  <si>
    <t>ATMHY007</t>
  </si>
  <si>
    <t>ATMAU009</t>
  </si>
  <si>
    <t>ATMHY010</t>
  </si>
  <si>
    <t>ATMAU012</t>
  </si>
  <si>
    <t>ATMHY013</t>
  </si>
  <si>
    <t>ATMAU016</t>
  </si>
  <si>
    <t>ATMHY017</t>
  </si>
  <si>
    <t>AU</t>
  </si>
  <si>
    <t>HY</t>
  </si>
  <si>
    <t>ATMUK011</t>
  </si>
  <si>
    <t>Country_Code</t>
  </si>
  <si>
    <t>Country_Name</t>
  </si>
  <si>
    <t>Cassette_1</t>
  </si>
  <si>
    <t>Cassette_2</t>
  </si>
  <si>
    <t>Cassette_3</t>
  </si>
  <si>
    <t>Cash_In</t>
  </si>
  <si>
    <t>C1_Notes</t>
  </si>
  <si>
    <t>C2_Notes</t>
  </si>
  <si>
    <t>C3_Notes</t>
  </si>
  <si>
    <t xml:space="preserve"> </t>
  </si>
  <si>
    <t>Jam</t>
  </si>
  <si>
    <t>Bills_Out</t>
  </si>
  <si>
    <t>Cassette_Error</t>
  </si>
  <si>
    <t>Low_Cash</t>
  </si>
  <si>
    <t>Network</t>
  </si>
  <si>
    <t>Net_Cash</t>
  </si>
  <si>
    <t>Total_Errors</t>
  </si>
  <si>
    <t>Cash 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</si>
</sst>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19C3-EF80-486B-8B88-6EFD62234731}">
  <dimension ref="A1:N26"/>
  <sheetViews>
    <sheetView workbookViewId="0">
      <selection activeCell="E25" sqref="E25"/>
    </sheetView>
  </sheetViews>
  <sheetFormatPr defaultRowHeight="14.4" x14ac:dyDescent="0.3"/>
  <cols>
    <col min="1" max="1" width="10.21875" customWidth="1"/>
    <col min="2" max="2" width="10.6640625" bestFit="1" customWidth="1"/>
    <col min="3" max="3" width="10.6640625" customWidth="1"/>
    <col min="4" max="6" width="13.109375" customWidth="1"/>
    <col min="7" max="7" width="17.44140625" customWidth="1"/>
    <col min="8" max="8" width="13.109375" customWidth="1"/>
    <col min="9" max="9" width="12.21875" bestFit="1" customWidth="1"/>
    <col min="10" max="10" width="12.21875" customWidth="1"/>
    <col min="11" max="11" width="13.44140625" customWidth="1"/>
    <col min="12" max="12" width="11" customWidth="1"/>
  </cols>
  <sheetData>
    <row r="1" spans="1:14" x14ac:dyDescent="0.3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2</v>
      </c>
      <c r="I1" t="s">
        <v>36</v>
      </c>
      <c r="J1" t="s">
        <v>37</v>
      </c>
      <c r="K1" t="s">
        <v>38</v>
      </c>
      <c r="L1" t="s">
        <v>35</v>
      </c>
      <c r="M1" t="s">
        <v>47</v>
      </c>
      <c r="N1" t="s">
        <v>39</v>
      </c>
    </row>
    <row r="2" spans="1:14" x14ac:dyDescent="0.3">
      <c r="A2" s="2">
        <v>46024</v>
      </c>
      <c r="B2" t="s">
        <v>3</v>
      </c>
      <c r="C2" t="str">
        <f>MID(B2,4,2)</f>
        <v>NY</v>
      </c>
      <c r="D2" t="str">
        <f>VLOOKUP(C2,Country!A1:C5,2)</f>
        <v>America</v>
      </c>
      <c r="E2">
        <v>500</v>
      </c>
      <c r="F2">
        <v>200</v>
      </c>
      <c r="G2">
        <v>100</v>
      </c>
      <c r="H2">
        <v>1</v>
      </c>
      <c r="I2">
        <f>E2*H2</f>
        <v>500</v>
      </c>
      <c r="J2">
        <f>F2*H2</f>
        <v>200</v>
      </c>
      <c r="K2">
        <f>G2*H2</f>
        <v>100</v>
      </c>
      <c r="L2">
        <f>I2+J2+K2</f>
        <v>800</v>
      </c>
      <c r="M2">
        <v>800</v>
      </c>
    </row>
    <row r="3" spans="1:14" x14ac:dyDescent="0.3">
      <c r="A3" s="2">
        <v>46025</v>
      </c>
      <c r="B3" t="s">
        <v>4</v>
      </c>
      <c r="C3" t="str">
        <f t="shared" ref="C3:C20" si="0">MID(B3,4,2)</f>
        <v>UK</v>
      </c>
      <c r="D3" t="str">
        <f>VLOOKUP(C3,Country!A2:B5,2)</f>
        <v>United Kingdom</v>
      </c>
      <c r="E3">
        <v>100</v>
      </c>
      <c r="F3">
        <v>50</v>
      </c>
      <c r="G3">
        <v>0</v>
      </c>
      <c r="H3">
        <v>5</v>
      </c>
      <c r="I3">
        <f t="shared" ref="I3:I20" si="1">E3*H3</f>
        <v>500</v>
      </c>
      <c r="J3">
        <f t="shared" ref="J3:J20" si="2">F3*H3</f>
        <v>250</v>
      </c>
      <c r="K3">
        <f t="shared" ref="K3:K20" si="3">G3*H3</f>
        <v>0</v>
      </c>
      <c r="L3">
        <f t="shared" ref="L3:L20" si="4">I3+J3+K3</f>
        <v>750</v>
      </c>
      <c r="M3">
        <v>700</v>
      </c>
    </row>
    <row r="4" spans="1:14" x14ac:dyDescent="0.3">
      <c r="A4" s="2">
        <v>46026</v>
      </c>
      <c r="B4" t="s">
        <v>17</v>
      </c>
      <c r="C4" t="str">
        <f t="shared" si="0"/>
        <v>HY</v>
      </c>
      <c r="D4" t="str">
        <f>VLOOKUP(C4,Country!A3:C7,2)</f>
        <v>Hyderabad</v>
      </c>
      <c r="E4">
        <v>1000</v>
      </c>
      <c r="F4">
        <v>1500</v>
      </c>
      <c r="G4">
        <v>100</v>
      </c>
      <c r="H4">
        <v>10</v>
      </c>
      <c r="I4">
        <f t="shared" si="1"/>
        <v>10000</v>
      </c>
      <c r="J4">
        <f t="shared" si="2"/>
        <v>15000</v>
      </c>
      <c r="K4">
        <f t="shared" si="3"/>
        <v>1000</v>
      </c>
      <c r="L4">
        <f t="shared" si="4"/>
        <v>26000</v>
      </c>
      <c r="M4">
        <v>27000</v>
      </c>
    </row>
    <row r="5" spans="1:14" x14ac:dyDescent="0.3">
      <c r="A5" s="2">
        <v>46027</v>
      </c>
      <c r="B5" t="s">
        <v>18</v>
      </c>
      <c r="C5" t="str">
        <f t="shared" si="0"/>
        <v>AU</v>
      </c>
      <c r="D5" t="str">
        <f>VLOOKUP(C5,Country!A2:B5,2)</f>
        <v>Australia</v>
      </c>
      <c r="E5">
        <v>500</v>
      </c>
      <c r="F5">
        <v>1000</v>
      </c>
      <c r="G5">
        <v>200</v>
      </c>
      <c r="H5">
        <v>20</v>
      </c>
      <c r="I5">
        <f t="shared" si="1"/>
        <v>10000</v>
      </c>
      <c r="J5">
        <f t="shared" si="2"/>
        <v>20000</v>
      </c>
      <c r="K5">
        <f t="shared" si="3"/>
        <v>4000</v>
      </c>
      <c r="L5">
        <f t="shared" si="4"/>
        <v>34000</v>
      </c>
      <c r="M5">
        <v>32000</v>
      </c>
    </row>
    <row r="6" spans="1:14" x14ac:dyDescent="0.3">
      <c r="A6" s="2">
        <v>46028</v>
      </c>
      <c r="B6" t="s">
        <v>19</v>
      </c>
      <c r="C6" t="str">
        <f t="shared" si="0"/>
        <v>HY</v>
      </c>
      <c r="D6" t="str">
        <f>VLOOKUP(C6,Country!A$2:B$5,2)</f>
        <v>Hyderabad</v>
      </c>
      <c r="E6">
        <v>200</v>
      </c>
      <c r="F6">
        <v>100</v>
      </c>
      <c r="G6">
        <v>1000</v>
      </c>
      <c r="H6">
        <v>50</v>
      </c>
      <c r="I6">
        <f t="shared" si="1"/>
        <v>10000</v>
      </c>
      <c r="J6">
        <f t="shared" si="2"/>
        <v>5000</v>
      </c>
      <c r="K6">
        <f t="shared" si="3"/>
        <v>50000</v>
      </c>
      <c r="L6">
        <f t="shared" si="4"/>
        <v>65000</v>
      </c>
      <c r="M6">
        <v>65000</v>
      </c>
    </row>
    <row r="7" spans="1:14" x14ac:dyDescent="0.3">
      <c r="A7" s="2">
        <v>46029</v>
      </c>
      <c r="B7" t="s">
        <v>5</v>
      </c>
      <c r="C7" t="str">
        <f t="shared" si="0"/>
        <v>NY</v>
      </c>
      <c r="D7" t="str">
        <f>VLOOKUP(C7,Country!A$2:B$5,2)</f>
        <v>America</v>
      </c>
      <c r="E7">
        <v>5000</v>
      </c>
      <c r="F7">
        <v>2000</v>
      </c>
      <c r="G7">
        <v>0</v>
      </c>
      <c r="H7">
        <v>5</v>
      </c>
      <c r="I7">
        <f t="shared" si="1"/>
        <v>25000</v>
      </c>
      <c r="J7">
        <f t="shared" si="2"/>
        <v>10000</v>
      </c>
      <c r="K7">
        <f t="shared" si="3"/>
        <v>0</v>
      </c>
      <c r="L7">
        <f t="shared" si="4"/>
        <v>35000</v>
      </c>
      <c r="M7">
        <v>36000</v>
      </c>
    </row>
    <row r="8" spans="1:14" x14ac:dyDescent="0.3">
      <c r="A8" s="2">
        <v>46030</v>
      </c>
      <c r="B8" t="s">
        <v>20</v>
      </c>
      <c r="C8" t="str">
        <f t="shared" si="0"/>
        <v>HY</v>
      </c>
      <c r="D8" t="str">
        <f>VLOOKUP(C8,Country!A$2:B$5,2)</f>
        <v>Hyderabad</v>
      </c>
      <c r="E8">
        <v>0</v>
      </c>
      <c r="F8">
        <v>500</v>
      </c>
      <c r="G8">
        <v>100</v>
      </c>
      <c r="H8">
        <v>1</v>
      </c>
      <c r="I8">
        <f t="shared" si="1"/>
        <v>0</v>
      </c>
      <c r="J8">
        <f t="shared" si="2"/>
        <v>500</v>
      </c>
      <c r="K8">
        <f t="shared" si="3"/>
        <v>100</v>
      </c>
      <c r="L8">
        <f t="shared" si="4"/>
        <v>600</v>
      </c>
      <c r="M8">
        <v>500</v>
      </c>
    </row>
    <row r="9" spans="1:14" x14ac:dyDescent="0.3">
      <c r="A9" s="2">
        <v>46031</v>
      </c>
      <c r="B9" t="s">
        <v>6</v>
      </c>
      <c r="C9" t="str">
        <f t="shared" si="0"/>
        <v>UK</v>
      </c>
      <c r="D9" t="str">
        <f>VLOOKUP(C9,Country!A$2:B$5,2)</f>
        <v>United Kingdom</v>
      </c>
      <c r="E9">
        <v>500</v>
      </c>
      <c r="F9">
        <v>2000</v>
      </c>
      <c r="G9">
        <v>1000</v>
      </c>
      <c r="H9">
        <v>10</v>
      </c>
      <c r="I9">
        <f t="shared" si="1"/>
        <v>5000</v>
      </c>
      <c r="J9">
        <f t="shared" si="2"/>
        <v>20000</v>
      </c>
      <c r="K9">
        <f t="shared" si="3"/>
        <v>10000</v>
      </c>
      <c r="L9">
        <f t="shared" si="4"/>
        <v>35000</v>
      </c>
      <c r="M9">
        <v>35000</v>
      </c>
    </row>
    <row r="10" spans="1:14" x14ac:dyDescent="0.3">
      <c r="A10" s="2">
        <v>46032</v>
      </c>
      <c r="B10" t="s">
        <v>21</v>
      </c>
      <c r="C10" t="str">
        <f t="shared" si="0"/>
        <v>AU</v>
      </c>
      <c r="D10" t="str">
        <f>VLOOKUP(C10,Country!A$2:B$5,2)</f>
        <v>Australia</v>
      </c>
      <c r="E10">
        <v>1000</v>
      </c>
      <c r="F10">
        <v>50</v>
      </c>
      <c r="G10">
        <v>100</v>
      </c>
      <c r="H10">
        <v>20</v>
      </c>
      <c r="I10">
        <f t="shared" si="1"/>
        <v>20000</v>
      </c>
      <c r="J10">
        <f t="shared" si="2"/>
        <v>1000</v>
      </c>
      <c r="K10">
        <f t="shared" si="3"/>
        <v>2000</v>
      </c>
      <c r="L10">
        <f t="shared" si="4"/>
        <v>23000</v>
      </c>
      <c r="M10">
        <v>21000</v>
      </c>
    </row>
    <row r="11" spans="1:14" x14ac:dyDescent="0.3">
      <c r="A11" s="2">
        <v>46033</v>
      </c>
      <c r="B11" t="s">
        <v>22</v>
      </c>
      <c r="C11" t="str">
        <f t="shared" si="0"/>
        <v>HY</v>
      </c>
      <c r="D11" t="str">
        <f>VLOOKUP(C11,Country!A$2:B$5,2)</f>
        <v>Hyderabad</v>
      </c>
      <c r="E11">
        <v>1200</v>
      </c>
      <c r="F11">
        <v>1000</v>
      </c>
      <c r="G11">
        <v>2000</v>
      </c>
      <c r="H11">
        <v>50</v>
      </c>
      <c r="I11">
        <f t="shared" si="1"/>
        <v>60000</v>
      </c>
      <c r="J11">
        <f t="shared" si="2"/>
        <v>50000</v>
      </c>
      <c r="K11">
        <f t="shared" si="3"/>
        <v>100000</v>
      </c>
      <c r="L11">
        <f t="shared" si="4"/>
        <v>210000</v>
      </c>
      <c r="M11">
        <v>210000</v>
      </c>
    </row>
    <row r="12" spans="1:14" x14ac:dyDescent="0.3">
      <c r="A12" s="2">
        <v>46034</v>
      </c>
      <c r="B12" t="s">
        <v>29</v>
      </c>
      <c r="C12" t="str">
        <f t="shared" si="0"/>
        <v>UK</v>
      </c>
      <c r="D12" t="str">
        <f>VLOOKUP(C12,Country!A$2:B$5,2)</f>
        <v>United Kingdom</v>
      </c>
      <c r="E12">
        <v>100</v>
      </c>
      <c r="F12">
        <v>0</v>
      </c>
      <c r="G12">
        <v>5000</v>
      </c>
      <c r="H12">
        <v>1</v>
      </c>
      <c r="I12">
        <f t="shared" si="1"/>
        <v>100</v>
      </c>
      <c r="J12">
        <f t="shared" si="2"/>
        <v>0</v>
      </c>
      <c r="K12">
        <f t="shared" si="3"/>
        <v>5000</v>
      </c>
      <c r="L12">
        <f t="shared" si="4"/>
        <v>5100</v>
      </c>
      <c r="M12">
        <v>5000</v>
      </c>
    </row>
    <row r="13" spans="1:14" x14ac:dyDescent="0.3">
      <c r="A13" s="2">
        <v>46035</v>
      </c>
      <c r="B13" t="s">
        <v>23</v>
      </c>
      <c r="C13" t="str">
        <f t="shared" si="0"/>
        <v>AU</v>
      </c>
      <c r="D13" t="str">
        <f>VLOOKUP(C13,Country!A$2:B$5,2)</f>
        <v>Australia</v>
      </c>
      <c r="E13">
        <v>50</v>
      </c>
      <c r="F13">
        <v>100</v>
      </c>
      <c r="G13">
        <v>2000</v>
      </c>
      <c r="H13">
        <v>1</v>
      </c>
      <c r="I13">
        <f t="shared" si="1"/>
        <v>50</v>
      </c>
      <c r="J13">
        <f t="shared" si="2"/>
        <v>100</v>
      </c>
      <c r="K13">
        <f t="shared" si="3"/>
        <v>2000</v>
      </c>
      <c r="L13">
        <f t="shared" si="4"/>
        <v>2150</v>
      </c>
      <c r="M13">
        <v>2250</v>
      </c>
    </row>
    <row r="14" spans="1:14" x14ac:dyDescent="0.3">
      <c r="A14" s="2">
        <v>46036</v>
      </c>
      <c r="B14" t="s">
        <v>24</v>
      </c>
      <c r="C14" t="str">
        <f t="shared" si="0"/>
        <v>HY</v>
      </c>
      <c r="D14" t="str">
        <f>VLOOKUP(C14,Country!A$2:B$5,2)</f>
        <v>Hyderabad</v>
      </c>
      <c r="E14">
        <v>5000</v>
      </c>
      <c r="F14">
        <v>1000</v>
      </c>
      <c r="G14">
        <v>100</v>
      </c>
      <c r="H14">
        <v>5</v>
      </c>
      <c r="I14">
        <f t="shared" si="1"/>
        <v>25000</v>
      </c>
      <c r="J14">
        <f t="shared" si="2"/>
        <v>5000</v>
      </c>
      <c r="K14">
        <f t="shared" si="3"/>
        <v>500</v>
      </c>
      <c r="L14">
        <f t="shared" si="4"/>
        <v>30500</v>
      </c>
      <c r="M14">
        <v>31500</v>
      </c>
    </row>
    <row r="15" spans="1:14" x14ac:dyDescent="0.3">
      <c r="A15" s="2">
        <v>46037</v>
      </c>
      <c r="B15" t="s">
        <v>7</v>
      </c>
      <c r="C15" t="str">
        <f t="shared" si="0"/>
        <v>NY</v>
      </c>
      <c r="D15" t="str">
        <f>VLOOKUP(C15,Country!A$2:B$5,2)</f>
        <v>America</v>
      </c>
      <c r="E15">
        <v>2000</v>
      </c>
      <c r="F15">
        <v>100</v>
      </c>
      <c r="G15">
        <v>10</v>
      </c>
      <c r="H15">
        <v>10</v>
      </c>
      <c r="I15">
        <f t="shared" si="1"/>
        <v>20000</v>
      </c>
      <c r="J15">
        <f t="shared" si="2"/>
        <v>1000</v>
      </c>
      <c r="K15">
        <f t="shared" si="3"/>
        <v>100</v>
      </c>
      <c r="L15">
        <f t="shared" si="4"/>
        <v>21100</v>
      </c>
      <c r="M15">
        <v>20000</v>
      </c>
    </row>
    <row r="16" spans="1:14" x14ac:dyDescent="0.3">
      <c r="A16" s="2">
        <v>46038</v>
      </c>
      <c r="B16" t="s">
        <v>8</v>
      </c>
      <c r="C16" t="str">
        <f t="shared" si="0"/>
        <v>UK</v>
      </c>
      <c r="D16" t="str">
        <f>VLOOKUP(C16,Country!A$2:B$5,2)</f>
        <v>United Kingdom</v>
      </c>
      <c r="E16">
        <v>1000</v>
      </c>
      <c r="F16">
        <v>500</v>
      </c>
      <c r="G16">
        <v>20</v>
      </c>
      <c r="H16">
        <v>5</v>
      </c>
      <c r="I16">
        <f t="shared" si="1"/>
        <v>5000</v>
      </c>
      <c r="J16">
        <f t="shared" si="2"/>
        <v>2500</v>
      </c>
      <c r="K16">
        <f t="shared" si="3"/>
        <v>100</v>
      </c>
      <c r="L16">
        <f t="shared" si="4"/>
        <v>7600</v>
      </c>
      <c r="M16">
        <v>7500</v>
      </c>
    </row>
    <row r="17" spans="1:13" x14ac:dyDescent="0.3">
      <c r="A17" s="2">
        <v>46039</v>
      </c>
      <c r="B17" t="s">
        <v>25</v>
      </c>
      <c r="C17" t="str">
        <f t="shared" si="0"/>
        <v>AU</v>
      </c>
      <c r="D17" t="str">
        <f>VLOOKUP(C17,Country!A$2:B$5,2)</f>
        <v>Australia</v>
      </c>
      <c r="E17">
        <v>2000</v>
      </c>
      <c r="F17">
        <v>1000</v>
      </c>
      <c r="G17">
        <v>500</v>
      </c>
      <c r="H17">
        <v>20</v>
      </c>
      <c r="I17">
        <f t="shared" si="1"/>
        <v>40000</v>
      </c>
      <c r="J17">
        <f t="shared" si="2"/>
        <v>20000</v>
      </c>
      <c r="K17">
        <f t="shared" si="3"/>
        <v>10000</v>
      </c>
      <c r="L17">
        <f t="shared" si="4"/>
        <v>70000</v>
      </c>
      <c r="M17">
        <v>70000</v>
      </c>
    </row>
    <row r="18" spans="1:13" x14ac:dyDescent="0.3">
      <c r="A18" s="2">
        <v>46040</v>
      </c>
      <c r="B18" t="s">
        <v>26</v>
      </c>
      <c r="C18" t="str">
        <f t="shared" si="0"/>
        <v>HY</v>
      </c>
      <c r="D18" t="str">
        <f>VLOOKUP(C18,Country!A$2:B$5,2)</f>
        <v>Hyderabad</v>
      </c>
      <c r="E18">
        <v>1000</v>
      </c>
      <c r="F18">
        <v>2000</v>
      </c>
      <c r="G18">
        <v>1000</v>
      </c>
      <c r="H18">
        <v>10</v>
      </c>
      <c r="I18">
        <f t="shared" si="1"/>
        <v>10000</v>
      </c>
      <c r="J18">
        <f t="shared" si="2"/>
        <v>20000</v>
      </c>
      <c r="K18">
        <f t="shared" si="3"/>
        <v>10000</v>
      </c>
      <c r="L18">
        <f t="shared" si="4"/>
        <v>40000</v>
      </c>
      <c r="M18">
        <v>35000</v>
      </c>
    </row>
    <row r="19" spans="1:13" x14ac:dyDescent="0.3">
      <c r="A19" s="2">
        <v>46041</v>
      </c>
      <c r="B19" t="s">
        <v>9</v>
      </c>
      <c r="C19" t="str">
        <f t="shared" si="0"/>
        <v>NY</v>
      </c>
      <c r="D19" t="str">
        <f>VLOOKUP(C19,Country!A$2:B$5,2)</f>
        <v>America</v>
      </c>
      <c r="E19">
        <v>100</v>
      </c>
      <c r="F19">
        <v>500</v>
      </c>
      <c r="G19">
        <v>200</v>
      </c>
      <c r="H19">
        <v>10</v>
      </c>
      <c r="I19">
        <f t="shared" si="1"/>
        <v>1000</v>
      </c>
      <c r="J19">
        <f t="shared" si="2"/>
        <v>5000</v>
      </c>
      <c r="K19">
        <f t="shared" si="3"/>
        <v>2000</v>
      </c>
      <c r="L19">
        <f t="shared" si="4"/>
        <v>8000</v>
      </c>
      <c r="M19">
        <v>8100</v>
      </c>
    </row>
    <row r="20" spans="1:13" x14ac:dyDescent="0.3">
      <c r="A20" s="2">
        <v>46042</v>
      </c>
      <c r="B20" t="s">
        <v>10</v>
      </c>
      <c r="C20" t="str">
        <f t="shared" si="0"/>
        <v>UK</v>
      </c>
      <c r="D20" t="str">
        <f>VLOOKUP(C20,Country!A$2:B$5,2)</f>
        <v>United Kingdom</v>
      </c>
      <c r="E20">
        <v>1000</v>
      </c>
      <c r="F20">
        <v>0</v>
      </c>
      <c r="G20">
        <v>100</v>
      </c>
      <c r="H20">
        <v>5</v>
      </c>
      <c r="I20">
        <f t="shared" si="1"/>
        <v>5000</v>
      </c>
      <c r="J20">
        <f t="shared" si="2"/>
        <v>0</v>
      </c>
      <c r="K20">
        <f t="shared" si="3"/>
        <v>500</v>
      </c>
      <c r="L20">
        <f t="shared" si="4"/>
        <v>5500</v>
      </c>
      <c r="M20">
        <v>5600</v>
      </c>
    </row>
    <row r="26" spans="1:13" x14ac:dyDescent="0.3">
      <c r="D26" s="1"/>
      <c r="E26" s="1"/>
      <c r="F26" s="1"/>
    </row>
  </sheetData>
  <sortState xmlns:xlrd2="http://schemas.microsoft.com/office/spreadsheetml/2017/richdata2" ref="B24:B27">
    <sortCondition ref="B23:B2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E443-1952-468A-8D09-F5EE2CB80D3F}">
  <dimension ref="A1:B5"/>
  <sheetViews>
    <sheetView workbookViewId="0">
      <selection activeCell="E25" sqref="E25"/>
    </sheetView>
  </sheetViews>
  <sheetFormatPr defaultRowHeight="14.4" x14ac:dyDescent="0.3"/>
  <cols>
    <col min="1" max="1" width="12.21875" customWidth="1"/>
    <col min="2" max="2" width="16.33203125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27</v>
      </c>
      <c r="B2" t="s">
        <v>12</v>
      </c>
    </row>
    <row r="3" spans="1:2" x14ac:dyDescent="0.3">
      <c r="A3" t="s">
        <v>28</v>
      </c>
      <c r="B3" t="s">
        <v>16</v>
      </c>
    </row>
    <row r="4" spans="1:2" x14ac:dyDescent="0.3">
      <c r="A4" t="s">
        <v>11</v>
      </c>
      <c r="B4" t="s">
        <v>14</v>
      </c>
    </row>
    <row r="5" spans="1:2" x14ac:dyDescent="0.3">
      <c r="A5" t="s">
        <v>13</v>
      </c>
      <c r="B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FFA-CCCB-47A2-9286-ABC6F73B2A6A}">
  <dimension ref="A1:K20"/>
  <sheetViews>
    <sheetView tabSelected="1" zoomScaleNormal="100" workbookViewId="0">
      <selection activeCell="M19" sqref="M19"/>
    </sheetView>
  </sheetViews>
  <sheetFormatPr defaultRowHeight="14.4" x14ac:dyDescent="0.3"/>
  <cols>
    <col min="1" max="1" width="14.21875" customWidth="1"/>
    <col min="2" max="2" width="12.6640625" customWidth="1"/>
    <col min="3" max="3" width="8.88671875" customWidth="1"/>
    <col min="4" max="4" width="11.77734375" customWidth="1"/>
    <col min="7" max="7" width="13.33203125" customWidth="1"/>
  </cols>
  <sheetData>
    <row r="1" spans="1:11" x14ac:dyDescent="0.3">
      <c r="A1" t="s">
        <v>0</v>
      </c>
      <c r="B1" t="s">
        <v>1</v>
      </c>
      <c r="C1" t="s">
        <v>35</v>
      </c>
      <c r="D1" t="s">
        <v>47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">
      <c r="A2" s="2">
        <v>46024</v>
      </c>
      <c r="B2" t="s">
        <v>3</v>
      </c>
      <c r="C2">
        <v>800</v>
      </c>
      <c r="D2">
        <v>800</v>
      </c>
      <c r="E2">
        <v>0</v>
      </c>
      <c r="F2">
        <v>0</v>
      </c>
      <c r="G2">
        <v>0</v>
      </c>
      <c r="H2">
        <v>0</v>
      </c>
      <c r="I2">
        <v>0</v>
      </c>
      <c r="J2">
        <f>C2-D2</f>
        <v>0</v>
      </c>
      <c r="K2">
        <f>SUM(E2+F2+G2+H2+I2)</f>
        <v>0</v>
      </c>
    </row>
    <row r="3" spans="1:11" x14ac:dyDescent="0.3">
      <c r="A3" s="2">
        <v>46025</v>
      </c>
      <c r="B3" t="s">
        <v>4</v>
      </c>
      <c r="C3">
        <v>750</v>
      </c>
      <c r="D3">
        <v>700</v>
      </c>
      <c r="E3">
        <v>1</v>
      </c>
      <c r="F3">
        <v>0</v>
      </c>
      <c r="G3">
        <v>0</v>
      </c>
      <c r="H3">
        <v>1</v>
      </c>
      <c r="I3">
        <v>0</v>
      </c>
      <c r="J3">
        <f t="shared" ref="J3:J20" si="0">C3-D3</f>
        <v>50</v>
      </c>
      <c r="K3">
        <f t="shared" ref="K3:K20" si="1">SUM(E3+F3+G3+H3+I3)</f>
        <v>2</v>
      </c>
    </row>
    <row r="4" spans="1:11" x14ac:dyDescent="0.3">
      <c r="A4" s="2">
        <v>46026</v>
      </c>
      <c r="B4" t="s">
        <v>17</v>
      </c>
      <c r="C4">
        <v>26000</v>
      </c>
      <c r="D4">
        <v>22000</v>
      </c>
      <c r="E4">
        <v>0</v>
      </c>
      <c r="F4">
        <v>1</v>
      </c>
      <c r="G4">
        <v>0</v>
      </c>
      <c r="H4">
        <v>0</v>
      </c>
      <c r="I4">
        <v>1</v>
      </c>
      <c r="J4">
        <f t="shared" si="0"/>
        <v>4000</v>
      </c>
      <c r="K4">
        <f t="shared" si="1"/>
        <v>2</v>
      </c>
    </row>
    <row r="5" spans="1:11" x14ac:dyDescent="0.3">
      <c r="A5" s="2">
        <v>46027</v>
      </c>
      <c r="B5" t="s">
        <v>18</v>
      </c>
      <c r="C5">
        <v>34000</v>
      </c>
      <c r="D5">
        <v>32000</v>
      </c>
      <c r="E5">
        <v>0</v>
      </c>
      <c r="F5">
        <v>1</v>
      </c>
      <c r="G5">
        <v>0</v>
      </c>
      <c r="H5">
        <v>0</v>
      </c>
      <c r="I5">
        <v>0</v>
      </c>
      <c r="J5">
        <f t="shared" si="0"/>
        <v>2000</v>
      </c>
      <c r="K5">
        <f t="shared" si="1"/>
        <v>1</v>
      </c>
    </row>
    <row r="6" spans="1:11" x14ac:dyDescent="0.3">
      <c r="A6" s="2">
        <v>46028</v>
      </c>
      <c r="B6" t="s">
        <v>19</v>
      </c>
      <c r="C6">
        <v>65000</v>
      </c>
      <c r="D6">
        <v>65000</v>
      </c>
      <c r="E6">
        <v>0</v>
      </c>
      <c r="F6">
        <v>0</v>
      </c>
      <c r="G6">
        <v>0</v>
      </c>
      <c r="H6">
        <v>1</v>
      </c>
      <c r="I6">
        <v>0</v>
      </c>
      <c r="J6">
        <f t="shared" si="0"/>
        <v>0</v>
      </c>
      <c r="K6">
        <f t="shared" si="1"/>
        <v>1</v>
      </c>
    </row>
    <row r="7" spans="1:11" x14ac:dyDescent="0.3">
      <c r="A7" s="2">
        <v>46029</v>
      </c>
      <c r="B7" t="s">
        <v>5</v>
      </c>
      <c r="C7">
        <v>35000</v>
      </c>
      <c r="D7">
        <v>26000</v>
      </c>
      <c r="E7">
        <v>0</v>
      </c>
      <c r="F7">
        <v>0</v>
      </c>
      <c r="G7">
        <v>0</v>
      </c>
      <c r="H7">
        <v>0</v>
      </c>
      <c r="I7">
        <v>1</v>
      </c>
      <c r="J7">
        <f t="shared" si="0"/>
        <v>9000</v>
      </c>
      <c r="K7">
        <f t="shared" si="1"/>
        <v>1</v>
      </c>
    </row>
    <row r="8" spans="1:11" x14ac:dyDescent="0.3">
      <c r="A8" s="2">
        <v>46030</v>
      </c>
      <c r="B8" t="s">
        <v>20</v>
      </c>
      <c r="C8">
        <v>600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f t="shared" si="0"/>
        <v>600</v>
      </c>
      <c r="K8">
        <f t="shared" si="1"/>
        <v>5</v>
      </c>
    </row>
    <row r="9" spans="1:11" x14ac:dyDescent="0.3">
      <c r="A9" s="2">
        <v>46031</v>
      </c>
      <c r="B9" t="s">
        <v>6</v>
      </c>
      <c r="C9">
        <v>35000</v>
      </c>
      <c r="D9">
        <v>33000</v>
      </c>
      <c r="E9">
        <v>0</v>
      </c>
      <c r="F9">
        <v>1</v>
      </c>
      <c r="G9">
        <v>1</v>
      </c>
      <c r="H9">
        <v>0</v>
      </c>
      <c r="I9">
        <v>0</v>
      </c>
      <c r="J9">
        <f t="shared" si="0"/>
        <v>2000</v>
      </c>
      <c r="K9">
        <f t="shared" si="1"/>
        <v>2</v>
      </c>
    </row>
    <row r="10" spans="1:11" x14ac:dyDescent="0.3">
      <c r="A10" s="2">
        <v>46032</v>
      </c>
      <c r="B10" t="s">
        <v>21</v>
      </c>
      <c r="C10">
        <v>23000</v>
      </c>
      <c r="D10">
        <v>21000</v>
      </c>
      <c r="E10">
        <v>0</v>
      </c>
      <c r="F10">
        <v>1</v>
      </c>
      <c r="G10">
        <v>0</v>
      </c>
      <c r="H10">
        <v>1</v>
      </c>
      <c r="I10">
        <v>1</v>
      </c>
      <c r="J10">
        <f t="shared" si="0"/>
        <v>2000</v>
      </c>
      <c r="K10">
        <f t="shared" si="1"/>
        <v>3</v>
      </c>
    </row>
    <row r="11" spans="1:11" x14ac:dyDescent="0.3">
      <c r="A11" s="2">
        <v>46033</v>
      </c>
      <c r="B11" t="s">
        <v>22</v>
      </c>
      <c r="C11">
        <v>210000</v>
      </c>
      <c r="D11">
        <v>210000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K11">
        <f t="shared" si="1"/>
        <v>0</v>
      </c>
    </row>
    <row r="12" spans="1:11" x14ac:dyDescent="0.3">
      <c r="A12" s="2">
        <v>46034</v>
      </c>
      <c r="B12" t="s">
        <v>29</v>
      </c>
      <c r="C12">
        <v>5100</v>
      </c>
      <c r="D12">
        <v>5000</v>
      </c>
      <c r="E12">
        <v>1</v>
      </c>
      <c r="F12">
        <v>1</v>
      </c>
      <c r="G12">
        <v>0</v>
      </c>
      <c r="H12">
        <v>1</v>
      </c>
      <c r="I12">
        <v>0</v>
      </c>
      <c r="J12">
        <f t="shared" si="0"/>
        <v>100</v>
      </c>
      <c r="K12">
        <f t="shared" si="1"/>
        <v>3</v>
      </c>
    </row>
    <row r="13" spans="1:11" x14ac:dyDescent="0.3">
      <c r="A13" s="2">
        <v>46035</v>
      </c>
      <c r="B13" t="s">
        <v>23</v>
      </c>
      <c r="C13">
        <v>2150</v>
      </c>
      <c r="D13">
        <v>2050</v>
      </c>
      <c r="E13">
        <v>0</v>
      </c>
      <c r="F13">
        <v>0</v>
      </c>
      <c r="G13">
        <v>1</v>
      </c>
      <c r="H13">
        <v>0</v>
      </c>
      <c r="I13">
        <v>1</v>
      </c>
      <c r="J13">
        <f t="shared" si="0"/>
        <v>100</v>
      </c>
      <c r="K13">
        <f t="shared" si="1"/>
        <v>2</v>
      </c>
    </row>
    <row r="14" spans="1:11" x14ac:dyDescent="0.3">
      <c r="A14" s="2">
        <v>46036</v>
      </c>
      <c r="B14" t="s">
        <v>24</v>
      </c>
      <c r="C14">
        <v>30500</v>
      </c>
      <c r="D14">
        <v>29500</v>
      </c>
      <c r="E14">
        <v>0</v>
      </c>
      <c r="F14">
        <v>1</v>
      </c>
      <c r="G14">
        <v>1</v>
      </c>
      <c r="H14">
        <v>0</v>
      </c>
      <c r="I14">
        <v>0</v>
      </c>
      <c r="J14">
        <f t="shared" si="0"/>
        <v>1000</v>
      </c>
      <c r="K14">
        <f t="shared" si="1"/>
        <v>2</v>
      </c>
    </row>
    <row r="15" spans="1:11" x14ac:dyDescent="0.3">
      <c r="A15" s="2">
        <v>46037</v>
      </c>
      <c r="B15" t="s">
        <v>7</v>
      </c>
      <c r="C15">
        <v>21100</v>
      </c>
      <c r="D15">
        <v>20000</v>
      </c>
      <c r="E15">
        <v>1</v>
      </c>
      <c r="F15">
        <v>0</v>
      </c>
      <c r="G15">
        <v>0</v>
      </c>
      <c r="H15">
        <v>0</v>
      </c>
      <c r="I15">
        <v>0</v>
      </c>
      <c r="J15">
        <f t="shared" si="0"/>
        <v>1100</v>
      </c>
      <c r="K15">
        <f t="shared" si="1"/>
        <v>1</v>
      </c>
    </row>
    <row r="16" spans="1:11" x14ac:dyDescent="0.3">
      <c r="A16" s="2">
        <v>46038</v>
      </c>
      <c r="B16" t="s">
        <v>8</v>
      </c>
      <c r="C16">
        <v>7600</v>
      </c>
      <c r="D16">
        <v>7500</v>
      </c>
      <c r="E16">
        <v>1</v>
      </c>
      <c r="F16">
        <v>0</v>
      </c>
      <c r="G16">
        <v>0</v>
      </c>
      <c r="H16">
        <v>0</v>
      </c>
      <c r="I16">
        <v>0</v>
      </c>
      <c r="J16">
        <f t="shared" si="0"/>
        <v>100</v>
      </c>
      <c r="K16">
        <f t="shared" si="1"/>
        <v>1</v>
      </c>
    </row>
    <row r="17" spans="1:11" x14ac:dyDescent="0.3">
      <c r="A17" s="2">
        <v>46039</v>
      </c>
      <c r="B17" t="s">
        <v>25</v>
      </c>
      <c r="C17">
        <v>70000</v>
      </c>
      <c r="D17">
        <v>70000</v>
      </c>
      <c r="E17">
        <v>0</v>
      </c>
      <c r="F17">
        <v>0</v>
      </c>
      <c r="G17">
        <v>0</v>
      </c>
      <c r="H17">
        <v>1</v>
      </c>
      <c r="I17">
        <v>0</v>
      </c>
      <c r="J17">
        <f t="shared" si="0"/>
        <v>0</v>
      </c>
      <c r="K17">
        <f t="shared" si="1"/>
        <v>1</v>
      </c>
    </row>
    <row r="18" spans="1:11" x14ac:dyDescent="0.3">
      <c r="A18" s="2">
        <v>46040</v>
      </c>
      <c r="B18" t="s">
        <v>26</v>
      </c>
      <c r="C18">
        <v>40000</v>
      </c>
      <c r="D18">
        <v>35000</v>
      </c>
      <c r="E18">
        <v>0</v>
      </c>
      <c r="F18">
        <v>1</v>
      </c>
      <c r="G18">
        <v>0</v>
      </c>
      <c r="H18">
        <v>1</v>
      </c>
      <c r="I18">
        <v>0</v>
      </c>
      <c r="J18">
        <f t="shared" si="0"/>
        <v>5000</v>
      </c>
      <c r="K18">
        <f t="shared" si="1"/>
        <v>2</v>
      </c>
    </row>
    <row r="19" spans="1:11" x14ac:dyDescent="0.3">
      <c r="A19" s="2">
        <v>46041</v>
      </c>
      <c r="B19" t="s">
        <v>9</v>
      </c>
      <c r="C19">
        <v>8000</v>
      </c>
      <c r="D19">
        <v>7900</v>
      </c>
      <c r="E19">
        <v>1</v>
      </c>
      <c r="F19">
        <v>0</v>
      </c>
      <c r="G19">
        <v>1</v>
      </c>
      <c r="H19">
        <v>0</v>
      </c>
      <c r="I19">
        <v>1</v>
      </c>
      <c r="J19">
        <f t="shared" si="0"/>
        <v>100</v>
      </c>
      <c r="K19">
        <f t="shared" si="1"/>
        <v>3</v>
      </c>
    </row>
    <row r="20" spans="1:11" x14ac:dyDescent="0.3">
      <c r="A20" s="2">
        <v>46042</v>
      </c>
      <c r="B20" t="s">
        <v>10</v>
      </c>
      <c r="C20">
        <v>5500</v>
      </c>
      <c r="D20">
        <v>2500</v>
      </c>
      <c r="E20">
        <v>0</v>
      </c>
      <c r="F20">
        <v>0</v>
      </c>
      <c r="G20">
        <v>1</v>
      </c>
      <c r="H20">
        <v>0</v>
      </c>
      <c r="I20">
        <v>0</v>
      </c>
      <c r="J20">
        <f t="shared" si="0"/>
        <v>3000</v>
      </c>
      <c r="K20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ATM_Cash</vt:lpstr>
      <vt:lpstr>Country</vt:lpstr>
      <vt:lpstr>ATM_Transactions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pakanatimounika12@gmail.com</dc:creator>
  <cp:lastModifiedBy>Mahesh Kesireddy</cp:lastModifiedBy>
  <dcterms:created xsi:type="dcterms:W3CDTF">2026-02-13T14:12:26Z</dcterms:created>
  <dcterms:modified xsi:type="dcterms:W3CDTF">2026-02-22T12:17:02Z</dcterms:modified>
</cp:coreProperties>
</file>